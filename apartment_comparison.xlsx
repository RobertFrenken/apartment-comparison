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artment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<sst xmlns="http://schemas.openxmlformats.org/spreadsheetml/2006/main" count="282" uniqueCount="171">
  <si>
    <t xml:space="preserve">LLNL Internship — Apartment Comparison Database</t>
  </si>
  <si>
    <t xml:space="preserve">Category</t>
  </si>
  <si>
    <t xml:space="preserve">Field</t>
  </si>
  <si>
    <t xml:space="preserve">Listing 1 — 3BR/2BA Upscale Livermore
(ID: 881538)</t>
  </si>
  <si>
    <t xml:space="preserve">Listing 2 — 3BR/2BA Springtown w/ Pool
(ID: 898100)</t>
  </si>
  <si>
    <t xml:space="preserve">FINANCIALS</t>
  </si>
  <si>
    <t xml:space="preserve">Financials</t>
  </si>
  <si>
    <t xml:space="preserve">Monthly Price ($/mo)</t>
  </si>
  <si>
    <t xml:space="preserve">$4,200</t>
  </si>
  <si>
    <t xml:space="preserve">$5,200</t>
  </si>
  <si>
    <t xml:space="preserve">Price per Bedroom ($/mo)</t>
  </si>
  <si>
    <t xml:space="preserve">Utilities Included</t>
  </si>
  <si>
    <t xml:space="preserve">No</t>
  </si>
  <si>
    <t xml:space="preserve">Yes (all)</t>
  </si>
  <si>
    <t xml:space="preserve">Est. Monthly Utilities ($/mo)</t>
  </si>
  <si>
    <t xml:space="preserve">~$150–200</t>
  </si>
  <si>
    <t xml:space="preserve">Included</t>
  </si>
  <si>
    <t xml:space="preserve">Total Estimated Monthly Cost ($/mo)</t>
  </si>
  <si>
    <t xml:space="preserve">Security Deposit ($)</t>
  </si>
  <si>
    <t xml:space="preserve">$3,000</t>
  </si>
  <si>
    <t xml:space="preserve">Application Fee ($)</t>
  </si>
  <si>
    <t xml:space="preserve">$40</t>
  </si>
  <si>
    <t xml:space="preserve">None</t>
  </si>
  <si>
    <t xml:space="preserve">Cleaning Fee ($)</t>
  </si>
  <si>
    <t xml:space="preserve">$150</t>
  </si>
  <si>
    <t xml:space="preserve">$300</t>
  </si>
  <si>
    <t xml:space="preserve">Total Move-in Cost ($)</t>
  </si>
  <si>
    <t xml:space="preserve">SPACE &amp; LAYOUT</t>
  </si>
  <si>
    <t xml:space="preserve">Space</t>
  </si>
  <si>
    <t xml:space="preserve">Square Footage (sq ft)</t>
  </si>
  <si>
    <t xml:space="preserve">1,488</t>
  </si>
  <si>
    <t xml:space="preserve">1,300</t>
  </si>
  <si>
    <t xml:space="preserve">Bedrooms (count)</t>
  </si>
  <si>
    <t xml:space="preserve">3</t>
  </si>
  <si>
    <t xml:space="preserve">Bedroom 1 Type</t>
  </si>
  <si>
    <t xml:space="preserve">King Bed</t>
  </si>
  <si>
    <t xml:space="preserve">Queen Bed</t>
  </si>
  <si>
    <t xml:space="preserve">Bedroom 2 Type</t>
  </si>
  <si>
    <t xml:space="preserve">Bedroom 3 Type</t>
  </si>
  <si>
    <t xml:space="preserve">Twin Bed</t>
  </si>
  <si>
    <t xml:space="preserve">Bathrooms (count)</t>
  </si>
  <si>
    <t xml:space="preserve">2</t>
  </si>
  <si>
    <t xml:space="preserve">Bathroom 1 Type</t>
  </si>
  <si>
    <t xml:space="preserve">Private Full Bath</t>
  </si>
  <si>
    <t xml:space="preserve">Bathroom 2 Type</t>
  </si>
  <si>
    <t xml:space="preserve">Parking</t>
  </si>
  <si>
    <t xml:space="preserve">Double Garage (free)</t>
  </si>
  <si>
    <t xml:space="preserve">Driveway only — garage not included (free)</t>
  </si>
  <si>
    <t xml:space="preserve">Outdoor Space</t>
  </si>
  <si>
    <t xml:space="preserve">Large fenced front &amp; back yard</t>
  </si>
  <si>
    <t xml:space="preserve">Private backyard</t>
  </si>
  <si>
    <t xml:space="preserve">Pool</t>
  </si>
  <si>
    <t xml:space="preserve">Yes (community)</t>
  </si>
  <si>
    <t xml:space="preserve">APPLIANCES</t>
  </si>
  <si>
    <t xml:space="preserve">Appliances</t>
  </si>
  <si>
    <t xml:space="preserve">Dishwasher</t>
  </si>
  <si>
    <t xml:space="preserve">Yes</t>
  </si>
  <si>
    <t xml:space="preserve">Microwave</t>
  </si>
  <si>
    <t xml:space="preserve">Full-Size Fridge</t>
  </si>
  <si>
    <t xml:space="preserve">Stovetop</t>
  </si>
  <si>
    <t xml:space="preserve">Washer &amp; Dryer</t>
  </si>
  <si>
    <t xml:space="preserve">Yes (in-unit)</t>
  </si>
  <si>
    <t xml:space="preserve">Fireplace</t>
  </si>
  <si>
    <t xml:space="preserve">Water Softener / RO Water</t>
  </si>
  <si>
    <t xml:space="preserve">Yes (whole-home + RO drinking)</t>
  </si>
  <si>
    <t xml:space="preserve">AMENITIES</t>
  </si>
  <si>
    <t xml:space="preserve">Amenities</t>
  </si>
  <si>
    <t xml:space="preserve">Air Conditioning</t>
  </si>
  <si>
    <t xml:space="preserve">Yes (central)</t>
  </si>
  <si>
    <t xml:space="preserve">Heating</t>
  </si>
  <si>
    <t xml:space="preserve">Internet / WiFi</t>
  </si>
  <si>
    <t xml:space="preserve">Not listed</t>
  </si>
  <si>
    <t xml:space="preserve">Yes (included)</t>
  </si>
  <si>
    <t xml:space="preserve">TV</t>
  </si>
  <si>
    <t xml:space="preserve">Smart TV</t>
  </si>
  <si>
    <t xml:space="preserve">Storage</t>
  </si>
  <si>
    <t xml:space="preserve">Fire Extinguisher</t>
  </si>
  <si>
    <t xml:space="preserve">Hair Dryer</t>
  </si>
  <si>
    <t xml:space="preserve">Portable Fans</t>
  </si>
  <si>
    <t xml:space="preserve">Community Tennis / Greenbelt</t>
  </si>
  <si>
    <t xml:space="preserve">Yes (Springtown area)</t>
  </si>
  <si>
    <t xml:space="preserve">Wheelchair Accessible</t>
  </si>
  <si>
    <t xml:space="preserve">Close to Public Transit</t>
  </si>
  <si>
    <t xml:space="preserve">HOUSE RULES</t>
  </si>
  <si>
    <t xml:space="preserve">House Rules</t>
  </si>
  <si>
    <t xml:space="preserve">Pets Allowed</t>
  </si>
  <si>
    <t xml:space="preserve">Smoking</t>
  </si>
  <si>
    <t xml:space="preserve">Not Allowed</t>
  </si>
  <si>
    <t xml:space="preserve">Max Occupancy</t>
  </si>
  <si>
    <t xml:space="preserve">6</t>
  </si>
  <si>
    <t xml:space="preserve">Max Vehicles</t>
  </si>
  <si>
    <t xml:space="preserve">4</t>
  </si>
  <si>
    <t xml:space="preserve">LOCATION</t>
  </si>
  <si>
    <t xml:space="preserve">Location</t>
  </si>
  <si>
    <t xml:space="preserve">Address (approx.)</t>
  </si>
  <si>
    <t xml:space="preserve">Livermore, CA 94550 (downtown/upscale area)</t>
  </si>
  <si>
    <t xml:space="preserve">Livermore, CA 94551 (Springtown neighborhood)</t>
  </si>
  <si>
    <t xml:space="preserve">Neighborhood</t>
  </si>
  <si>
    <t xml:space="preserve">Upscale area, near downtown Livermore</t>
  </si>
  <si>
    <t xml:space="preserve">Springtown — quiet residential, near shops &amp; parks</t>
  </si>
  <si>
    <t xml:space="preserve">Distance to LLNL (est. miles)</t>
  </si>
  <si>
    <t xml:space="preserve">~3–4 mi</t>
  </si>
  <si>
    <t xml:space="preserve">~5–6 mi</t>
  </si>
  <si>
    <t xml:space="preserve">Est. Drive Time to LLNL</t>
  </si>
  <si>
    <t xml:space="preserve">~8–10 min</t>
  </si>
  <si>
    <t xml:space="preserve">~10–12 min</t>
  </si>
  <si>
    <t xml:space="preserve">Nearest Grocery 1</t>
  </si>
  <si>
    <t xml:space="preserve">Trader Joe's — 1122 E Stanley Blvd (~1.2 mi)</t>
  </si>
  <si>
    <t xml:space="preserve">Safeway — 4495 First St (~1.5 mi)</t>
  </si>
  <si>
    <t xml:space="preserve">Nearest Grocery 2</t>
  </si>
  <si>
    <t xml:space="preserve">Nob Hill Foods — 919 E Stanley Blvd (~1.5 mi)</t>
  </si>
  <si>
    <t xml:space="preserve">Lucky — 2000 Portola Ave (~2.0 mi)</t>
  </si>
  <si>
    <t xml:space="preserve">Nearest Grocery 3</t>
  </si>
  <si>
    <t xml:space="preserve">Safeway — 1554 First St (~2.0 mi)</t>
  </si>
  <si>
    <t xml:space="preserve">Trader Joe's — 1122 E Stanley Blvd (~2.5 mi)</t>
  </si>
  <si>
    <t xml:space="preserve">Nearest Hospital</t>
  </si>
  <si>
    <t xml:space="preserve">Valleycare Medical Center (~4.6 mi)</t>
  </si>
  <si>
    <t xml:space="preserve">Kaiser Livermore (~2.4 mi)</t>
  </si>
  <si>
    <t xml:space="preserve">LEASE TERMS</t>
  </si>
  <si>
    <t xml:space="preserve">Lease</t>
  </si>
  <si>
    <t xml:space="preserve">Contract Type</t>
  </si>
  <si>
    <t xml:space="preserve">Monthly furnished rental</t>
  </si>
  <si>
    <t xml:space="preserve">Minimum Stay</t>
  </si>
  <si>
    <t xml:space="preserve">1 month (30 days)</t>
  </si>
  <si>
    <t xml:space="preserve">Available From</t>
  </si>
  <si>
    <t xml:space="preserve">May 22, 2026</t>
  </si>
  <si>
    <t xml:space="preserve">May 23, 2026 (available Apr 5)</t>
  </si>
  <si>
    <t xml:space="preserve">Available Until</t>
  </si>
  <si>
    <t xml:space="preserve">Aug 25, 2026</t>
  </si>
  <si>
    <t xml:space="preserve">Stay Duration (days)</t>
  </si>
  <si>
    <t xml:space="preserve">Platform</t>
  </si>
  <si>
    <t xml:space="preserve">Furnished Finder (#881538_1)</t>
  </si>
  <si>
    <t xml:space="preserve">Furnished Finder (#898100_1)</t>
  </si>
  <si>
    <t xml:space="preserve">LANDLORD PROFILE</t>
  </si>
  <si>
    <t xml:space="preserve">Landlord</t>
  </si>
  <si>
    <t xml:space="preserve">Name</t>
  </si>
  <si>
    <t xml:space="preserve">Craig S.</t>
  </si>
  <si>
    <t xml:space="preserve">Ana A.</t>
  </si>
  <si>
    <t xml:space="preserve">Pleasanton, CA</t>
  </si>
  <si>
    <t xml:space="preserve">Livermore, CA</t>
  </si>
  <si>
    <t xml:space="preserve">Tenure on Platform</t>
  </si>
  <si>
    <t xml:space="preserve">7 months</t>
  </si>
  <si>
    <t xml:space="preserve">6 months</t>
  </si>
  <si>
    <t xml:space="preserve">Verifications</t>
  </si>
  <si>
    <t xml:space="preserve">Email, Phone, ID</t>
  </si>
  <si>
    <t xml:space="preserve">Reviews</t>
  </si>
  <si>
    <t xml:space="preserve">0 (new listing)</t>
  </si>
  <si>
    <t xml:space="preserve">REMOTE WORK SUITABILITY</t>
  </si>
  <si>
    <t xml:space="preserve">Remote Work</t>
  </si>
  <si>
    <t xml:space="preserve">WiFi / Internet Listed</t>
  </si>
  <si>
    <t xml:space="preserve">Not explicitly listed</t>
  </si>
  <si>
    <t xml:space="preserve">Yes — WiFi included</t>
  </si>
  <si>
    <t xml:space="preserve">Quiet Environment</t>
  </si>
  <si>
    <t xml:space="preserve">Yes (listed amenity)</t>
  </si>
  <si>
    <t xml:space="preserve">Dedicated Workspace Mentioned</t>
  </si>
  <si>
    <t xml:space="preserve">Remote Work Score (1–5)</t>
  </si>
  <si>
    <t xml:space="preserve">3/5 — quiet, no WiFi confirmed</t>
  </si>
  <si>
    <t xml:space="preserve">4/5 — quiet + WiFi confirmed</t>
  </si>
  <si>
    <t xml:space="preserve">COMMUTE COST</t>
  </si>
  <si>
    <t xml:space="preserve">Commute</t>
  </si>
  <si>
    <t xml:space="preserve">Est. One-Way Distance to LLNL</t>
  </si>
  <si>
    <t xml:space="preserve">~3.5 mi</t>
  </si>
  <si>
    <t xml:space="preserve">~5.5 mi</t>
  </si>
  <si>
    <t xml:space="preserve">Est. Monthly Gas Cost (@ $0.21/mi)</t>
  </si>
  <si>
    <t xml:space="preserve">Commute Method Options</t>
  </si>
  <si>
    <t xml:space="preserve">Drive, bike (3.5 mi)</t>
  </si>
  <si>
    <t xml:space="preserve">Drive, bus (close to transit)</t>
  </si>
  <si>
    <t xml:space="preserve">LEGEND</t>
  </si>
  <si>
    <t xml:space="preserve">■</t>
  </si>
  <si>
    <t xml:space="preserve">Blue text = hardcoded input value</t>
  </si>
  <si>
    <t xml:space="preserve">Black bold text + yellow bg = Excel formula (auto-calculated)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</si>
</sst>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2"/>
      <color rgb="FF0000FF"/>
      <name val="Arial"/>
      <family val="0"/>
      <charset val="1"/>
    </font>
    <font>
      <sz val="9"/>
      <name val="Arial"/>
      <family val="0"/>
      <charset val="1"/>
    </font>
    <font>
      <sz val="12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4" min="3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8" hidden="false" customHeight="true" outlineLevel="0" collapsed="false">
      <c r="A3" s="3" t="s">
        <v>5</v>
      </c>
      <c r="B3" s="3"/>
      <c r="C3" s="3"/>
      <c r="D3" s="3"/>
    </row>
    <row r="4" customFormat="false" ht="30" hidden="false" customHeight="true" outlineLevel="0" collapsed="false">
      <c r="A4" s="4" t="s">
        <v>6</v>
      </c>
      <c r="B4" s="4" t="s">
        <v>7</v>
      </c>
      <c r="C4" s="5" t="s">
        <v>8</v>
      </c>
      <c r="D4" s="5" t="s">
        <v>9</v>
      </c>
    </row>
    <row r="5" customFormat="false" ht="30" hidden="false" customHeight="true" outlineLevel="0" collapsed="false">
      <c r="A5" s="6" t="s">
        <v>6</v>
      </c>
      <c r="B5" s="6" t="s">
        <v>10</v>
      </c>
      <c r="C5" s="7" t="n">
        <f aca="false">C4/C14</f>
        <v>2.82258064516129</v>
      </c>
      <c r="D5" s="7" t="n">
        <f aca="false">D4/D14</f>
        <v>4</v>
      </c>
    </row>
    <row r="6" customFormat="false" ht="30" hidden="false" customHeight="true" outlineLevel="0" collapsed="false">
      <c r="A6" s="4" t="s">
        <v>6</v>
      </c>
      <c r="B6" s="4" t="s">
        <v>11</v>
      </c>
      <c r="C6" s="5" t="s">
        <v>12</v>
      </c>
      <c r="D6" s="5" t="s">
        <v>13</v>
      </c>
    </row>
    <row r="7" customFormat="false" ht="30" hidden="false" customHeight="true" outlineLevel="0" collapsed="false">
      <c r="A7" s="6" t="s">
        <v>6</v>
      </c>
      <c r="B7" s="6" t="s">
        <v>14</v>
      </c>
      <c r="C7" s="8" t="s">
        <v>15</v>
      </c>
      <c r="D7" s="8" t="s">
        <v>16</v>
      </c>
    </row>
    <row r="8" customFormat="false" ht="30" hidden="false" customHeight="true" outlineLevel="0" collapsed="false">
      <c r="A8" s="4" t="s">
        <v>6</v>
      </c>
      <c r="B8" s="4" t="s">
        <v>17</v>
      </c>
      <c r="C8" s="7" t="n">
        <f aca="false">C4+175</f>
        <v>4375</v>
      </c>
      <c r="D8" s="7" t="str">
        <f aca="false">D4</f>
        <v>$5,200</v>
      </c>
    </row>
    <row r="9" customFormat="false" ht="30" hidden="false" customHeight="true" outlineLevel="0" collapsed="false">
      <c r="A9" s="6" t="s">
        <v>6</v>
      </c>
      <c r="B9" s="6" t="s">
        <v>18</v>
      </c>
      <c r="C9" s="8" t="s">
        <v>19</v>
      </c>
      <c r="D9" s="8" t="s">
        <v>9</v>
      </c>
    </row>
    <row r="10" customFormat="false" ht="30" hidden="false" customHeight="true" outlineLevel="0" collapsed="false">
      <c r="A10" s="4" t="s">
        <v>6</v>
      </c>
      <c r="B10" s="4" t="s">
        <v>20</v>
      </c>
      <c r="C10" s="5" t="s">
        <v>21</v>
      </c>
      <c r="D10" s="5" t="s">
        <v>22</v>
      </c>
    </row>
    <row r="11" customFormat="false" ht="30" hidden="false" customHeight="true" outlineLevel="0" collapsed="false">
      <c r="A11" s="6" t="s">
        <v>6</v>
      </c>
      <c r="B11" s="6" t="s">
        <v>23</v>
      </c>
      <c r="C11" s="8" t="s">
        <v>24</v>
      </c>
      <c r="D11" s="8" t="s">
        <v>25</v>
      </c>
    </row>
    <row r="12" customFormat="false" ht="30" hidden="false" customHeight="true" outlineLevel="0" collapsed="false">
      <c r="A12" s="4" t="s">
        <v>6</v>
      </c>
      <c r="B12" s="4" t="s">
        <v>26</v>
      </c>
      <c r="C12" s="7" t="n">
        <f aca="false">C9+C10+C11+C4</f>
        <v>7390</v>
      </c>
      <c r="D12" s="7" t="n">
        <f aca="false">D9+D11+D4</f>
        <v>10700</v>
      </c>
    </row>
    <row r="13" customFormat="false" ht="18" hidden="false" customHeight="true" outlineLevel="0" collapsed="false">
      <c r="A13" s="3" t="s">
        <v>27</v>
      </c>
      <c r="B13" s="3"/>
      <c r="C13" s="3"/>
      <c r="D13" s="3"/>
    </row>
    <row r="14" customFormat="false" ht="30" hidden="false" customHeight="true" outlineLevel="0" collapsed="false">
      <c r="A14" s="4" t="s">
        <v>28</v>
      </c>
      <c r="B14" s="4" t="s">
        <v>29</v>
      </c>
      <c r="C14" s="5" t="s">
        <v>30</v>
      </c>
      <c r="D14" s="5" t="s">
        <v>31</v>
      </c>
    </row>
    <row r="15" customFormat="false" ht="30" hidden="false" customHeight="true" outlineLevel="0" collapsed="false">
      <c r="A15" s="6" t="s">
        <v>28</v>
      </c>
      <c r="B15" s="6" t="s">
        <v>32</v>
      </c>
      <c r="C15" s="8" t="s">
        <v>33</v>
      </c>
      <c r="D15" s="8" t="s">
        <v>33</v>
      </c>
    </row>
    <row r="16" customFormat="false" ht="30" hidden="false" customHeight="true" outlineLevel="0" collapsed="false">
      <c r="A16" s="4" t="s">
        <v>28</v>
      </c>
      <c r="B16" s="4" t="s">
        <v>34</v>
      </c>
      <c r="C16" s="5" t="s">
        <v>35</v>
      </c>
      <c r="D16" s="5" t="s">
        <v>36</v>
      </c>
    </row>
    <row r="17" customFormat="false" ht="30" hidden="false" customHeight="true" outlineLevel="0" collapsed="false">
      <c r="A17" s="6" t="s">
        <v>28</v>
      </c>
      <c r="B17" s="6" t="s">
        <v>37</v>
      </c>
      <c r="C17" s="8" t="s">
        <v>36</v>
      </c>
      <c r="D17" s="8" t="s">
        <v>36</v>
      </c>
    </row>
    <row r="18" customFormat="false" ht="30" hidden="false" customHeight="true" outlineLevel="0" collapsed="false">
      <c r="A18" s="4" t="s">
        <v>28</v>
      </c>
      <c r="B18" s="4" t="s">
        <v>38</v>
      </c>
      <c r="C18" s="5" t="s">
        <v>39</v>
      </c>
      <c r="D18" s="5" t="s">
        <v>39</v>
      </c>
    </row>
    <row r="19" customFormat="false" ht="30" hidden="false" customHeight="true" outlineLevel="0" collapsed="false">
      <c r="A19" s="6" t="s">
        <v>28</v>
      </c>
      <c r="B19" s="6" t="s">
        <v>40</v>
      </c>
      <c r="C19" s="8" t="s">
        <v>41</v>
      </c>
      <c r="D19" s="8" t="s">
        <v>41</v>
      </c>
    </row>
    <row r="20" customFormat="false" ht="30" hidden="false" customHeight="true" outlineLevel="0" collapsed="false">
      <c r="A20" s="4" t="s">
        <v>28</v>
      </c>
      <c r="B20" s="4" t="s">
        <v>42</v>
      </c>
      <c r="C20" s="5" t="s">
        <v>43</v>
      </c>
      <c r="D20" s="5" t="s">
        <v>43</v>
      </c>
    </row>
    <row r="21" customFormat="false" ht="30" hidden="false" customHeight="true" outlineLevel="0" collapsed="false">
      <c r="A21" s="6" t="s">
        <v>28</v>
      </c>
      <c r="B21" s="6" t="s">
        <v>44</v>
      </c>
      <c r="C21" s="8" t="s">
        <v>43</v>
      </c>
      <c r="D21" s="8" t="s">
        <v>43</v>
      </c>
    </row>
    <row r="22" customFormat="false" ht="30" hidden="false" customHeight="true" outlineLevel="0" collapsed="false">
      <c r="A22" s="4" t="s">
        <v>28</v>
      </c>
      <c r="B22" s="4" t="s">
        <v>45</v>
      </c>
      <c r="C22" s="5" t="s">
        <v>46</v>
      </c>
      <c r="D22" s="5" t="s">
        <v>47</v>
      </c>
    </row>
    <row r="23" customFormat="false" ht="30" hidden="false" customHeight="true" outlineLevel="0" collapsed="false">
      <c r="A23" s="6" t="s">
        <v>28</v>
      </c>
      <c r="B23" s="6" t="s">
        <v>48</v>
      </c>
      <c r="C23" s="8" t="s">
        <v>49</v>
      </c>
      <c r="D23" s="8" t="s">
        <v>50</v>
      </c>
    </row>
    <row r="24" customFormat="false" ht="30" hidden="false" customHeight="true" outlineLevel="0" collapsed="false">
      <c r="A24" s="4" t="s">
        <v>28</v>
      </c>
      <c r="B24" s="4" t="s">
        <v>51</v>
      </c>
      <c r="C24" s="5" t="s">
        <v>12</v>
      </c>
      <c r="D24" s="5" t="s">
        <v>52</v>
      </c>
    </row>
    <row r="25" customFormat="false" ht="18" hidden="false" customHeight="true" outlineLevel="0" collapsed="false">
      <c r="A25" s="3" t="s">
        <v>53</v>
      </c>
      <c r="B25" s="3"/>
      <c r="C25" s="3"/>
      <c r="D25" s="3"/>
    </row>
    <row r="26" customFormat="false" ht="30" hidden="false" customHeight="true" outlineLevel="0" collapsed="false">
      <c r="A26" s="4" t="s">
        <v>54</v>
      </c>
      <c r="B26" s="4" t="s">
        <v>55</v>
      </c>
      <c r="C26" s="5" t="s">
        <v>56</v>
      </c>
      <c r="D26" s="5" t="s">
        <v>56</v>
      </c>
    </row>
    <row r="27" customFormat="false" ht="30" hidden="false" customHeight="true" outlineLevel="0" collapsed="false">
      <c r="A27" s="6" t="s">
        <v>54</v>
      </c>
      <c r="B27" s="6" t="s">
        <v>57</v>
      </c>
      <c r="C27" s="8" t="s">
        <v>56</v>
      </c>
      <c r="D27" s="8" t="s">
        <v>56</v>
      </c>
    </row>
    <row r="28" customFormat="false" ht="30" hidden="false" customHeight="true" outlineLevel="0" collapsed="false">
      <c r="A28" s="4" t="s">
        <v>54</v>
      </c>
      <c r="B28" s="4" t="s">
        <v>58</v>
      </c>
      <c r="C28" s="5" t="s">
        <v>56</v>
      </c>
      <c r="D28" s="5" t="s">
        <v>56</v>
      </c>
    </row>
    <row r="29" customFormat="false" ht="30" hidden="false" customHeight="true" outlineLevel="0" collapsed="false">
      <c r="A29" s="6" t="s">
        <v>54</v>
      </c>
      <c r="B29" s="6" t="s">
        <v>59</v>
      </c>
      <c r="C29" s="8" t="s">
        <v>56</v>
      </c>
      <c r="D29" s="8" t="s">
        <v>56</v>
      </c>
    </row>
    <row r="30" customFormat="false" ht="30" hidden="false" customHeight="true" outlineLevel="0" collapsed="false">
      <c r="A30" s="4" t="s">
        <v>54</v>
      </c>
      <c r="B30" s="4" t="s">
        <v>60</v>
      </c>
      <c r="C30" s="5" t="s">
        <v>61</v>
      </c>
      <c r="D30" s="5" t="s">
        <v>61</v>
      </c>
    </row>
    <row r="31" customFormat="false" ht="30" hidden="false" customHeight="true" outlineLevel="0" collapsed="false">
      <c r="A31" s="6" t="s">
        <v>54</v>
      </c>
      <c r="B31" s="6" t="s">
        <v>62</v>
      </c>
      <c r="C31" s="8" t="s">
        <v>56</v>
      </c>
      <c r="D31" s="8" t="s">
        <v>12</v>
      </c>
    </row>
    <row r="32" customFormat="false" ht="30" hidden="false" customHeight="true" outlineLevel="0" collapsed="false">
      <c r="A32" s="4" t="s">
        <v>54</v>
      </c>
      <c r="B32" s="4" t="s">
        <v>63</v>
      </c>
      <c r="C32" s="5" t="s">
        <v>12</v>
      </c>
      <c r="D32" s="5" t="s">
        <v>64</v>
      </c>
    </row>
    <row r="33" customFormat="false" ht="18" hidden="false" customHeight="true" outlineLevel="0" collapsed="false">
      <c r="A33" s="3" t="s">
        <v>65</v>
      </c>
      <c r="B33" s="3"/>
      <c r="C33" s="3"/>
      <c r="D33" s="3"/>
    </row>
    <row r="34" customFormat="false" ht="30" hidden="false" customHeight="true" outlineLevel="0" collapsed="false">
      <c r="A34" s="4" t="s">
        <v>66</v>
      </c>
      <c r="B34" s="4" t="s">
        <v>67</v>
      </c>
      <c r="C34" s="5" t="s">
        <v>68</v>
      </c>
      <c r="D34" s="5" t="s">
        <v>68</v>
      </c>
    </row>
    <row r="35" customFormat="false" ht="30" hidden="false" customHeight="true" outlineLevel="0" collapsed="false">
      <c r="A35" s="6" t="s">
        <v>66</v>
      </c>
      <c r="B35" s="6" t="s">
        <v>69</v>
      </c>
      <c r="C35" s="8" t="s">
        <v>56</v>
      </c>
      <c r="D35" s="8" t="s">
        <v>56</v>
      </c>
    </row>
    <row r="36" customFormat="false" ht="30" hidden="false" customHeight="true" outlineLevel="0" collapsed="false">
      <c r="A36" s="4" t="s">
        <v>66</v>
      </c>
      <c r="B36" s="4" t="s">
        <v>70</v>
      </c>
      <c r="C36" s="5" t="s">
        <v>71</v>
      </c>
      <c r="D36" s="5" t="s">
        <v>72</v>
      </c>
    </row>
    <row r="37" customFormat="false" ht="30" hidden="false" customHeight="true" outlineLevel="0" collapsed="false">
      <c r="A37" s="6" t="s">
        <v>66</v>
      </c>
      <c r="B37" s="6" t="s">
        <v>73</v>
      </c>
      <c r="C37" s="8" t="s">
        <v>56</v>
      </c>
      <c r="D37" s="8" t="s">
        <v>74</v>
      </c>
    </row>
    <row r="38" customFormat="false" ht="30" hidden="false" customHeight="true" outlineLevel="0" collapsed="false">
      <c r="A38" s="4" t="s">
        <v>66</v>
      </c>
      <c r="B38" s="4" t="s">
        <v>75</v>
      </c>
      <c r="C38" s="5" t="s">
        <v>56</v>
      </c>
      <c r="D38" s="5" t="s">
        <v>71</v>
      </c>
    </row>
    <row r="39" customFormat="false" ht="30" hidden="false" customHeight="true" outlineLevel="0" collapsed="false">
      <c r="A39" s="6" t="s">
        <v>66</v>
      </c>
      <c r="B39" s="6" t="s">
        <v>76</v>
      </c>
      <c r="C39" s="8" t="s">
        <v>56</v>
      </c>
      <c r="D39" s="8" t="s">
        <v>71</v>
      </c>
    </row>
    <row r="40" customFormat="false" ht="30" hidden="false" customHeight="true" outlineLevel="0" collapsed="false">
      <c r="A40" s="4" t="s">
        <v>66</v>
      </c>
      <c r="B40" s="4" t="s">
        <v>77</v>
      </c>
      <c r="C40" s="5" t="s">
        <v>12</v>
      </c>
      <c r="D40" s="5" t="s">
        <v>56</v>
      </c>
    </row>
    <row r="41" customFormat="false" ht="30" hidden="false" customHeight="true" outlineLevel="0" collapsed="false">
      <c r="A41" s="6" t="s">
        <v>66</v>
      </c>
      <c r="B41" s="6" t="s">
        <v>78</v>
      </c>
      <c r="C41" s="8" t="s">
        <v>12</v>
      </c>
      <c r="D41" s="8" t="s">
        <v>56</v>
      </c>
    </row>
    <row r="42" customFormat="false" ht="30" hidden="false" customHeight="true" outlineLevel="0" collapsed="false">
      <c r="A42" s="4" t="s">
        <v>66</v>
      </c>
      <c r="B42" s="4" t="s">
        <v>79</v>
      </c>
      <c r="C42" s="5" t="s">
        <v>12</v>
      </c>
      <c r="D42" s="5" t="s">
        <v>80</v>
      </c>
    </row>
    <row r="43" customFormat="false" ht="30" hidden="false" customHeight="true" outlineLevel="0" collapsed="false">
      <c r="A43" s="6" t="s">
        <v>66</v>
      </c>
      <c r="B43" s="6" t="s">
        <v>81</v>
      </c>
      <c r="C43" s="8" t="s">
        <v>71</v>
      </c>
      <c r="D43" s="8" t="s">
        <v>56</v>
      </c>
    </row>
    <row r="44" customFormat="false" ht="30" hidden="false" customHeight="true" outlineLevel="0" collapsed="false">
      <c r="A44" s="4" t="s">
        <v>66</v>
      </c>
      <c r="B44" s="4" t="s">
        <v>82</v>
      </c>
      <c r="C44" s="5" t="s">
        <v>71</v>
      </c>
      <c r="D44" s="5" t="s">
        <v>56</v>
      </c>
    </row>
    <row r="45" customFormat="false" ht="18" hidden="false" customHeight="true" outlineLevel="0" collapsed="false">
      <c r="A45" s="3" t="s">
        <v>83</v>
      </c>
      <c r="B45" s="3"/>
      <c r="C45" s="3"/>
      <c r="D45" s="3"/>
    </row>
    <row r="46" customFormat="false" ht="30" hidden="false" customHeight="true" outlineLevel="0" collapsed="false">
      <c r="A46" s="4" t="s">
        <v>84</v>
      </c>
      <c r="B46" s="4" t="s">
        <v>85</v>
      </c>
      <c r="C46" s="5" t="s">
        <v>12</v>
      </c>
      <c r="D46" s="5" t="s">
        <v>56</v>
      </c>
    </row>
    <row r="47" customFormat="false" ht="30" hidden="false" customHeight="true" outlineLevel="0" collapsed="false">
      <c r="A47" s="6" t="s">
        <v>84</v>
      </c>
      <c r="B47" s="6" t="s">
        <v>86</v>
      </c>
      <c r="C47" s="8" t="s">
        <v>87</v>
      </c>
      <c r="D47" s="8" t="s">
        <v>87</v>
      </c>
    </row>
    <row r="48" customFormat="false" ht="30" hidden="false" customHeight="true" outlineLevel="0" collapsed="false">
      <c r="A48" s="4" t="s">
        <v>84</v>
      </c>
      <c r="B48" s="4" t="s">
        <v>88</v>
      </c>
      <c r="C48" s="5" t="s">
        <v>71</v>
      </c>
      <c r="D48" s="5" t="s">
        <v>89</v>
      </c>
    </row>
    <row r="49" customFormat="false" ht="30" hidden="false" customHeight="true" outlineLevel="0" collapsed="false">
      <c r="A49" s="6" t="s">
        <v>84</v>
      </c>
      <c r="B49" s="6" t="s">
        <v>90</v>
      </c>
      <c r="C49" s="8" t="s">
        <v>71</v>
      </c>
      <c r="D49" s="8" t="s">
        <v>91</v>
      </c>
    </row>
    <row r="50" customFormat="false" ht="18" hidden="false" customHeight="true" outlineLevel="0" collapsed="false">
      <c r="A50" s="3" t="s">
        <v>92</v>
      </c>
      <c r="B50" s="3"/>
      <c r="C50" s="3"/>
      <c r="D50" s="3"/>
    </row>
    <row r="51" customFormat="false" ht="30" hidden="false" customHeight="true" outlineLevel="0" collapsed="false">
      <c r="A51" s="4" t="s">
        <v>93</v>
      </c>
      <c r="B51" s="4" t="s">
        <v>94</v>
      </c>
      <c r="C51" s="5" t="s">
        <v>95</v>
      </c>
      <c r="D51" s="5" t="s">
        <v>96</v>
      </c>
    </row>
    <row r="52" customFormat="false" ht="30" hidden="false" customHeight="true" outlineLevel="0" collapsed="false">
      <c r="A52" s="6" t="s">
        <v>93</v>
      </c>
      <c r="B52" s="6" t="s">
        <v>97</v>
      </c>
      <c r="C52" s="8" t="s">
        <v>98</v>
      </c>
      <c r="D52" s="8" t="s">
        <v>99</v>
      </c>
    </row>
    <row r="53" customFormat="false" ht="30" hidden="false" customHeight="true" outlineLevel="0" collapsed="false">
      <c r="A53" s="4" t="s">
        <v>93</v>
      </c>
      <c r="B53" s="4" t="s">
        <v>100</v>
      </c>
      <c r="C53" s="5" t="s">
        <v>101</v>
      </c>
      <c r="D53" s="5" t="s">
        <v>102</v>
      </c>
    </row>
    <row r="54" customFormat="false" ht="30" hidden="false" customHeight="true" outlineLevel="0" collapsed="false">
      <c r="A54" s="6" t="s">
        <v>93</v>
      </c>
      <c r="B54" s="6" t="s">
        <v>103</v>
      </c>
      <c r="C54" s="8" t="s">
        <v>104</v>
      </c>
      <c r="D54" s="8" t="s">
        <v>105</v>
      </c>
    </row>
    <row r="55" customFormat="false" ht="30" hidden="false" customHeight="true" outlineLevel="0" collapsed="false">
      <c r="A55" s="4" t="s">
        <v>93</v>
      </c>
      <c r="B55" s="4" t="s">
        <v>106</v>
      </c>
      <c r="C55" s="5" t="s">
        <v>107</v>
      </c>
      <c r="D55" s="5" t="s">
        <v>108</v>
      </c>
    </row>
    <row r="56" customFormat="false" ht="30" hidden="false" customHeight="true" outlineLevel="0" collapsed="false">
      <c r="A56" s="6" t="s">
        <v>93</v>
      </c>
      <c r="B56" s="6" t="s">
        <v>109</v>
      </c>
      <c r="C56" s="8" t="s">
        <v>110</v>
      </c>
      <c r="D56" s="8" t="s">
        <v>111</v>
      </c>
    </row>
    <row r="57" customFormat="false" ht="30" hidden="false" customHeight="true" outlineLevel="0" collapsed="false">
      <c r="A57" s="4" t="s">
        <v>93</v>
      </c>
      <c r="B57" s="4" t="s">
        <v>112</v>
      </c>
      <c r="C57" s="5" t="s">
        <v>113</v>
      </c>
      <c r="D57" s="5" t="s">
        <v>114</v>
      </c>
    </row>
    <row r="58" customFormat="false" ht="30" hidden="false" customHeight="true" outlineLevel="0" collapsed="false">
      <c r="A58" s="6" t="s">
        <v>93</v>
      </c>
      <c r="B58" s="6" t="s">
        <v>115</v>
      </c>
      <c r="C58" s="8" t="s">
        <v>116</v>
      </c>
      <c r="D58" s="8" t="s">
        <v>117</v>
      </c>
    </row>
    <row r="59" customFormat="false" ht="18" hidden="false" customHeight="true" outlineLevel="0" collapsed="false">
      <c r="A59" s="3" t="s">
        <v>118</v>
      </c>
      <c r="B59" s="3"/>
      <c r="C59" s="3"/>
      <c r="D59" s="3"/>
    </row>
    <row r="60" customFormat="false" ht="30" hidden="false" customHeight="true" outlineLevel="0" collapsed="false">
      <c r="A60" s="4" t="s">
        <v>119</v>
      </c>
      <c r="B60" s="4" t="s">
        <v>120</v>
      </c>
      <c r="C60" s="5" t="s">
        <v>121</v>
      </c>
      <c r="D60" s="5" t="s">
        <v>121</v>
      </c>
    </row>
    <row r="61" customFormat="false" ht="30" hidden="false" customHeight="true" outlineLevel="0" collapsed="false">
      <c r="A61" s="6" t="s">
        <v>119</v>
      </c>
      <c r="B61" s="6" t="s">
        <v>122</v>
      </c>
      <c r="C61" s="8" t="s">
        <v>123</v>
      </c>
      <c r="D61" s="8" t="s">
        <v>123</v>
      </c>
    </row>
    <row r="62" customFormat="false" ht="30" hidden="false" customHeight="true" outlineLevel="0" collapsed="false">
      <c r="A62" s="4" t="s">
        <v>119</v>
      </c>
      <c r="B62" s="4" t="s">
        <v>124</v>
      </c>
      <c r="C62" s="5" t="s">
        <v>125</v>
      </c>
      <c r="D62" s="5" t="s">
        <v>126</v>
      </c>
    </row>
    <row r="63" customFormat="false" ht="30" hidden="false" customHeight="true" outlineLevel="0" collapsed="false">
      <c r="A63" s="6" t="s">
        <v>119</v>
      </c>
      <c r="B63" s="6" t="s">
        <v>127</v>
      </c>
      <c r="C63" s="8" t="s">
        <v>128</v>
      </c>
      <c r="D63" s="8" t="s">
        <v>128</v>
      </c>
    </row>
    <row r="64" customFormat="false" ht="30" hidden="false" customHeight="true" outlineLevel="0" collapsed="false">
      <c r="A64" s="4" t="s">
        <v>119</v>
      </c>
      <c r="B64" s="4" t="s">
        <v>129</v>
      </c>
      <c r="C64" s="7" t="n">
        <f aca="false">DATE(2026,8,25)-DATE(2026,5,22)</f>
        <v>95</v>
      </c>
      <c r="D64" s="7" t="n">
        <f aca="false">DATE(2026,8,25)-DATE(2026,5,23)</f>
        <v>94</v>
      </c>
    </row>
    <row r="65" customFormat="false" ht="30" hidden="false" customHeight="true" outlineLevel="0" collapsed="false">
      <c r="A65" s="6" t="s">
        <v>119</v>
      </c>
      <c r="B65" s="6" t="s">
        <v>130</v>
      </c>
      <c r="C65" s="8" t="s">
        <v>131</v>
      </c>
      <c r="D65" s="8" t="s">
        <v>132</v>
      </c>
    </row>
    <row r="66" customFormat="false" ht="18" hidden="false" customHeight="true" outlineLevel="0" collapsed="false">
      <c r="A66" s="3" t="s">
        <v>133</v>
      </c>
      <c r="B66" s="3"/>
      <c r="C66" s="3"/>
      <c r="D66" s="3"/>
    </row>
    <row r="67" customFormat="false" ht="30" hidden="false" customHeight="true" outlineLevel="0" collapsed="false">
      <c r="A67" s="4" t="s">
        <v>134</v>
      </c>
      <c r="B67" s="4" t="s">
        <v>135</v>
      </c>
      <c r="C67" s="5" t="s">
        <v>136</v>
      </c>
      <c r="D67" s="5" t="s">
        <v>137</v>
      </c>
    </row>
    <row r="68" customFormat="false" ht="30" hidden="false" customHeight="true" outlineLevel="0" collapsed="false">
      <c r="A68" s="6" t="s">
        <v>134</v>
      </c>
      <c r="B68" s="6" t="s">
        <v>93</v>
      </c>
      <c r="C68" s="8" t="s">
        <v>138</v>
      </c>
      <c r="D68" s="8" t="s">
        <v>139</v>
      </c>
    </row>
    <row r="69" customFormat="false" ht="30" hidden="false" customHeight="true" outlineLevel="0" collapsed="false">
      <c r="A69" s="4" t="s">
        <v>134</v>
      </c>
      <c r="B69" s="4" t="s">
        <v>140</v>
      </c>
      <c r="C69" s="5" t="s">
        <v>141</v>
      </c>
      <c r="D69" s="5" t="s">
        <v>142</v>
      </c>
    </row>
    <row r="70" customFormat="false" ht="30" hidden="false" customHeight="true" outlineLevel="0" collapsed="false">
      <c r="A70" s="6" t="s">
        <v>134</v>
      </c>
      <c r="B70" s="6" t="s">
        <v>143</v>
      </c>
      <c r="C70" s="8" t="s">
        <v>144</v>
      </c>
      <c r="D70" s="8" t="s">
        <v>144</v>
      </c>
    </row>
    <row r="71" customFormat="false" ht="30" hidden="false" customHeight="true" outlineLevel="0" collapsed="false">
      <c r="A71" s="4" t="s">
        <v>134</v>
      </c>
      <c r="B71" s="4" t="s">
        <v>145</v>
      </c>
      <c r="C71" s="5" t="s">
        <v>146</v>
      </c>
      <c r="D71" s="5" t="s">
        <v>146</v>
      </c>
    </row>
    <row r="72" customFormat="false" ht="18" hidden="false" customHeight="true" outlineLevel="0" collapsed="false">
      <c r="A72" s="3" t="s">
        <v>147</v>
      </c>
      <c r="B72" s="3"/>
      <c r="C72" s="3"/>
      <c r="D72" s="3"/>
    </row>
    <row r="73" customFormat="false" ht="30" hidden="false" customHeight="true" outlineLevel="0" collapsed="false">
      <c r="A73" s="4" t="s">
        <v>148</v>
      </c>
      <c r="B73" s="4" t="s">
        <v>149</v>
      </c>
      <c r="C73" s="5" t="s">
        <v>150</v>
      </c>
      <c r="D73" s="5" t="s">
        <v>151</v>
      </c>
    </row>
    <row r="74" customFormat="false" ht="30" hidden="false" customHeight="true" outlineLevel="0" collapsed="false">
      <c r="A74" s="6" t="s">
        <v>148</v>
      </c>
      <c r="B74" s="6" t="s">
        <v>152</v>
      </c>
      <c r="C74" s="8" t="s">
        <v>153</v>
      </c>
      <c r="D74" s="8" t="s">
        <v>153</v>
      </c>
    </row>
    <row r="75" customFormat="false" ht="30" hidden="false" customHeight="true" outlineLevel="0" collapsed="false">
      <c r="A75" s="4" t="s">
        <v>148</v>
      </c>
      <c r="B75" s="4" t="s">
        <v>154</v>
      </c>
      <c r="C75" s="5" t="s">
        <v>12</v>
      </c>
      <c r="D75" s="5" t="s">
        <v>12</v>
      </c>
    </row>
    <row r="76" customFormat="false" ht="30" hidden="false" customHeight="true" outlineLevel="0" collapsed="false">
      <c r="A76" s="6" t="s">
        <v>148</v>
      </c>
      <c r="B76" s="6" t="s">
        <v>155</v>
      </c>
      <c r="C76" s="8" t="s">
        <v>156</v>
      </c>
      <c r="D76" s="8" t="s">
        <v>157</v>
      </c>
    </row>
    <row r="77" customFormat="false" ht="18" hidden="false" customHeight="true" outlineLevel="0" collapsed="false">
      <c r="A77" s="3" t="s">
        <v>158</v>
      </c>
      <c r="B77" s="3"/>
      <c r="C77" s="3"/>
      <c r="D77" s="3"/>
    </row>
    <row r="78" customFormat="false" ht="30" hidden="false" customHeight="true" outlineLevel="0" collapsed="false">
      <c r="A78" s="4" t="s">
        <v>159</v>
      </c>
      <c r="B78" s="4" t="s">
        <v>160</v>
      </c>
      <c r="C78" s="5" t="s">
        <v>161</v>
      </c>
      <c r="D78" s="5" t="s">
        <v>162</v>
      </c>
    </row>
    <row r="79" customFormat="false" ht="30" hidden="false" customHeight="true" outlineLevel="0" collapsed="false">
      <c r="A79" s="6" t="s">
        <v>159</v>
      </c>
      <c r="B79" s="6" t="s">
        <v>163</v>
      </c>
      <c r="C79" s="7" t="n">
        <f aca="false">3.5*2*22*0.21</f>
        <v>32.34</v>
      </c>
      <c r="D79" s="7" t="n">
        <f aca="false">5.5*2*22*0.21</f>
        <v>50.82</v>
      </c>
    </row>
    <row r="80" customFormat="false" ht="30" hidden="false" customHeight="true" outlineLevel="0" collapsed="false">
      <c r="A80" s="4" t="s">
        <v>159</v>
      </c>
      <c r="B80" s="4" t="s">
        <v>164</v>
      </c>
      <c r="C80" s="5" t="s">
        <v>165</v>
      </c>
      <c r="D80" s="5" t="s">
        <v>166</v>
      </c>
    </row>
    <row r="82" customFormat="false" ht="15" hidden="false" customHeight="false" outlineLevel="0" collapsed="false">
      <c r="A82" s="9" t="s">
        <v>167</v>
      </c>
    </row>
    <row r="83" customFormat="false" ht="15" hidden="false" customHeight="false" outlineLevel="0" collapsed="false">
      <c r="A83" s="10" t="s">
        <v>168</v>
      </c>
      <c r="B83" s="11" t="s">
        <v>169</v>
      </c>
    </row>
    <row r="84" customFormat="false" ht="15" hidden="false" customHeight="false" outlineLevel="0" collapsed="false">
      <c r="A84" s="12" t="s">
        <v>168</v>
      </c>
      <c r="B84" s="11" t="s">
        <v>170</v>
      </c>
    </row>
  </sheetData>
  <mergeCells count="11">
    <mergeCell ref="A1:D1"/>
    <mergeCell ref="A3:D3"/>
    <mergeCell ref="A13:D13"/>
    <mergeCell ref="A25:D25"/>
    <mergeCell ref="A33:D33"/>
    <mergeCell ref="A45:D45"/>
    <mergeCell ref="A50:D50"/>
    <mergeCell ref="A59:D59"/>
    <mergeCell ref="A66:D66"/>
    <mergeCell ref="A72:D72"/>
    <mergeCell ref="A77:D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2026-03-10T21:23:15Z</dcterms:created>
  <dc:creator>openpyxl</dc:creator>
  <dc:description/>
  <dc:language>en-US</dc:language>
  <cp:lastModifiedBy/>
  <dcterms:modified xsi:type="dcterms:W3CDTF">2026-03-10T21:23:15Z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